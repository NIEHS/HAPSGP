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ssienma/Downloads/"/>
    </mc:Choice>
  </mc:AlternateContent>
  <xr:revisionPtr revIDLastSave="0" documentId="13_ncr:40009_{50E979EF-9AB4-8A40-972E-0695E64D83EE}" xr6:coauthVersionLast="47" xr6:coauthVersionMax="47" xr10:uidLastSave="{00000000-0000-0000-0000-000000000000}"/>
  <bookViews>
    <workbookView xWindow="4580" yWindow="760" windowWidth="25660" windowHeight="17260" activeTab="1"/>
  </bookViews>
  <sheets>
    <sheet name="haps_stats_agu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B13" i="2"/>
  <c r="B14" i="2"/>
  <c r="B15" i="2"/>
  <c r="B16" i="2"/>
  <c r="B17" i="2"/>
  <c r="B18" i="2"/>
  <c r="B12" i="2"/>
</calcChain>
</file>

<file path=xl/sharedStrings.xml><?xml version="1.0" encoding="utf-8"?>
<sst xmlns="http://schemas.openxmlformats.org/spreadsheetml/2006/main" count="34" uniqueCount="20">
  <si>
    <t>Benzene</t>
  </si>
  <si>
    <t>Carbon tetrachloride</t>
  </si>
  <si>
    <t>Chloroform</t>
  </si>
  <si>
    <t>Hexane</t>
  </si>
  <si>
    <t>Pollutant</t>
  </si>
  <si>
    <t>Mean days/site</t>
  </si>
  <si>
    <t>% Non-Detects</t>
  </si>
  <si>
    <t>% Below MDL</t>
  </si>
  <si>
    <t>2021 Sites</t>
  </si>
  <si>
    <t>Mean MDL</t>
  </si>
  <si>
    <t>Parameter</t>
  </si>
  <si>
    <t>Max Temp</t>
  </si>
  <si>
    <t>Min Temp</t>
  </si>
  <si>
    <t>Precip</t>
  </si>
  <si>
    <t>Humidity</t>
  </si>
  <si>
    <t>Radiation</t>
  </si>
  <si>
    <t>Wind speed</t>
  </si>
  <si>
    <t>Wind dir.</t>
  </si>
  <si>
    <t>Carbon Tetrachloride</t>
  </si>
  <si>
    <t>Covariate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</si>
</sst>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0"/>
    <numFmt numFmtId="167" formatCode="0.0000"/>
    <numFmt numFmtId="168" formatCode="0.000"/>
    <numFmt numFmtId="169" formatCode="0.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16" fillId="0" borderId="0" xfId="0" applyFont="1"/>
    <xf numFmtId="0" fontId="0" fillId="0" borderId="10" xfId="0" applyBorder="1" applyAlignment="1">
      <alignment horizontal="center" vertical="center"/>
    </xf>
    <xf numFmtId="169" fontId="0" fillId="0" borderId="10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9" fontId="0" fillId="0" borderId="17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 wrapText="1"/>
    </xf>
    <xf numFmtId="0" fontId="16" fillId="34" borderId="12" xfId="0" applyFont="1" applyFill="1" applyBorder="1" applyAlignment="1">
      <alignment horizontal="center" vertical="center" wrapText="1"/>
    </xf>
    <xf numFmtId="0" fontId="16" fillId="34" borderId="13" xfId="0" applyFont="1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16" fillId="33" borderId="28" xfId="0" applyFont="1" applyFill="1" applyBorder="1"/>
    <xf numFmtId="0" fontId="0" fillId="33" borderId="29" xfId="0" applyFill="1" applyBorder="1"/>
    <xf numFmtId="0" fontId="0" fillId="33" borderId="30" xfId="0" applyFill="1" applyBorder="1"/>
    <xf numFmtId="0" fontId="0" fillId="33" borderId="31" xfId="0" applyFill="1" applyBorder="1"/>
    <xf numFmtId="0" fontId="0" fillId="33" borderId="19" xfId="0" applyFill="1" applyBorder="1"/>
    <xf numFmtId="0" fontId="0" fillId="33" borderId="22" xfId="0" applyFill="1" applyBorder="1"/>
    <xf numFmtId="0" fontId="0" fillId="33" borderId="24" xfId="0" applyFill="1" applyBorder="1"/>
    <xf numFmtId="2" fontId="0" fillId="33" borderId="20" xfId="0" applyNumberFormat="1" applyFill="1" applyBorder="1"/>
    <xf numFmtId="2" fontId="0" fillId="33" borderId="21" xfId="0" applyNumberFormat="1" applyFill="1" applyBorder="1"/>
    <xf numFmtId="2" fontId="0" fillId="33" borderId="27" xfId="0" applyNumberFormat="1" applyFill="1" applyBorder="1"/>
    <xf numFmtId="2" fontId="0" fillId="33" borderId="0" xfId="0" applyNumberFormat="1" applyFill="1" applyBorder="1"/>
    <xf numFmtId="2" fontId="0" fillId="33" borderId="23" xfId="0" applyNumberFormat="1" applyFill="1" applyBorder="1"/>
    <xf numFmtId="2" fontId="0" fillId="33" borderId="33" xfId="0" applyNumberFormat="1" applyFill="1" applyBorder="1"/>
    <xf numFmtId="2" fontId="0" fillId="33" borderId="25" xfId="0" applyNumberFormat="1" applyFill="1" applyBorder="1"/>
    <xf numFmtId="2" fontId="0" fillId="33" borderId="26" xfId="0" applyNumberFormat="1" applyFill="1" applyBorder="1"/>
    <xf numFmtId="168" fontId="0" fillId="33" borderId="32" xfId="0" applyNumberFormat="1" applyFill="1" applyBorder="1"/>
    <xf numFmtId="168" fontId="0" fillId="33" borderId="27" xfId="0" applyNumberFormat="1" applyFill="1" applyBorder="1"/>
    <xf numFmtId="167" fontId="0" fillId="33" borderId="32" xfId="0" applyNumberFormat="1" applyFill="1" applyBorder="1"/>
    <xf numFmtId="167" fontId="0" fillId="33" borderId="27" xfId="0" applyNumberFormat="1" applyFill="1" applyBorder="1"/>
    <xf numFmtId="167" fontId="0" fillId="33" borderId="33" xfId="0" applyNumberFormat="1" applyFill="1" applyBorder="1"/>
    <xf numFmtId="0" fontId="18" fillId="33" borderId="28" xfId="0" applyFont="1" applyFill="1" applyBorder="1" applyAlignment="1">
      <alignment horizontal="center" vertical="center"/>
    </xf>
    <xf numFmtId="0" fontId="19" fillId="33" borderId="29" xfId="0" applyFont="1" applyFill="1" applyBorder="1" applyAlignment="1">
      <alignment horizontal="center" vertical="center"/>
    </xf>
    <xf numFmtId="0" fontId="19" fillId="33" borderId="30" xfId="0" applyFont="1" applyFill="1" applyBorder="1" applyAlignment="1">
      <alignment horizontal="center" vertical="center" wrapText="1"/>
    </xf>
    <xf numFmtId="0" fontId="19" fillId="33" borderId="31" xfId="0" applyFont="1" applyFill="1" applyBorder="1" applyAlignment="1">
      <alignment horizontal="center" vertical="center"/>
    </xf>
    <xf numFmtId="168" fontId="20" fillId="0" borderId="32" xfId="0" applyNumberFormat="1" applyFont="1" applyFill="1" applyBorder="1"/>
    <xf numFmtId="167" fontId="20" fillId="0" borderId="32" xfId="0" applyNumberFormat="1" applyFont="1" applyFill="1" applyBorder="1"/>
    <xf numFmtId="168" fontId="20" fillId="0" borderId="21" xfId="0" applyNumberFormat="1" applyFont="1" applyFill="1" applyBorder="1"/>
    <xf numFmtId="168" fontId="20" fillId="0" borderId="27" xfId="0" applyNumberFormat="1" applyFont="1" applyFill="1" applyBorder="1"/>
    <xf numFmtId="2" fontId="20" fillId="0" borderId="27" xfId="0" applyNumberFormat="1" applyFont="1" applyFill="1" applyBorder="1"/>
    <xf numFmtId="168" fontId="20" fillId="0" borderId="23" xfId="0" applyNumberFormat="1" applyFont="1" applyFill="1" applyBorder="1"/>
    <xf numFmtId="167" fontId="20" fillId="0" borderId="27" xfId="0" applyNumberFormat="1" applyFont="1" applyFill="1" applyBorder="1"/>
    <xf numFmtId="167" fontId="20" fillId="0" borderId="33" xfId="0" applyNumberFormat="1" applyFont="1" applyFill="1" applyBorder="1"/>
    <xf numFmtId="2" fontId="20" fillId="0" borderId="33" xfId="0" applyNumberFormat="1" applyFont="1" applyFill="1" applyBorder="1"/>
    <xf numFmtId="164" fontId="20" fillId="0" borderId="26" xfId="0" applyNumberFormat="1" applyFont="1" applyFill="1" applyBorder="1"/>
    <xf numFmtId="0" fontId="19" fillId="33" borderId="19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/>
    </xf>
    <xf numFmtId="2" fontId="20" fillId="35" borderId="20" xfId="0" applyNumberFormat="1" applyFont="1" applyFill="1" applyBorder="1"/>
    <xf numFmtId="2" fontId="20" fillId="35" borderId="0" xfId="0" applyNumberFormat="1" applyFont="1" applyFill="1" applyBorder="1"/>
    <xf numFmtId="2" fontId="20" fillId="35" borderId="25" xfId="0" applyNumberFormat="1" applyFont="1" applyFill="1" applyBorder="1"/>
    <xf numFmtId="2" fontId="20" fillId="35" borderId="27" xfId="0" applyNumberFormat="1" applyFont="1" applyFill="1" applyBorder="1"/>
    <xf numFmtId="2" fontId="20" fillId="35" borderId="23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8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185" workbookViewId="0">
      <selection activeCell="I2" sqref="I2"/>
    </sheetView>
  </sheetViews>
  <sheetFormatPr baseColWidth="10" defaultRowHeight="16" x14ac:dyDescent="0.2"/>
  <cols>
    <col min="1" max="1" width="12.6640625" customWidth="1"/>
    <col min="2" max="4" width="7.33203125" customWidth="1"/>
    <col min="5" max="5" width="9" customWidth="1"/>
    <col min="6" max="6" width="8.6640625" customWidth="1"/>
    <col min="7" max="7" width="13.6640625" customWidth="1"/>
  </cols>
  <sheetData>
    <row r="1" spans="1:6" s="1" customFormat="1" ht="33" customHeight="1" x14ac:dyDescent="0.2">
      <c r="A1" s="8" t="s">
        <v>4</v>
      </c>
      <c r="B1" s="9" t="s">
        <v>8</v>
      </c>
      <c r="C1" s="9" t="s">
        <v>9</v>
      </c>
      <c r="D1" s="9" t="s">
        <v>6</v>
      </c>
      <c r="E1" s="9" t="s">
        <v>7</v>
      </c>
      <c r="F1" s="10" t="s">
        <v>5</v>
      </c>
    </row>
    <row r="2" spans="1:6" ht="34" customHeight="1" x14ac:dyDescent="0.2">
      <c r="A2" s="11" t="s">
        <v>0</v>
      </c>
      <c r="B2" s="2">
        <v>282</v>
      </c>
      <c r="C2" s="14">
        <v>0.21260116359707501</v>
      </c>
      <c r="D2" s="3">
        <v>2.2301842644048002</v>
      </c>
      <c r="E2" s="3">
        <v>8.8512723018426396</v>
      </c>
      <c r="F2" s="4">
        <v>96.992907801418397</v>
      </c>
    </row>
    <row r="3" spans="1:6" ht="34" x14ac:dyDescent="0.2">
      <c r="A3" s="12" t="s">
        <v>1</v>
      </c>
      <c r="B3" s="2">
        <v>226</v>
      </c>
      <c r="C3" s="14">
        <v>0.304499995742328</v>
      </c>
      <c r="D3" s="3">
        <v>3.2444959443800698</v>
      </c>
      <c r="E3" s="3">
        <v>25.7821552723059</v>
      </c>
      <c r="F3" s="4">
        <v>45.823008849557503</v>
      </c>
    </row>
    <row r="4" spans="1:6" ht="33" customHeight="1" x14ac:dyDescent="0.2">
      <c r="A4" s="11" t="s">
        <v>2</v>
      </c>
      <c r="B4" s="2">
        <v>225</v>
      </c>
      <c r="C4" s="14">
        <v>0.23996820907781699</v>
      </c>
      <c r="D4" s="3">
        <v>20.9937288953208</v>
      </c>
      <c r="E4" s="3">
        <v>32.773757838880798</v>
      </c>
      <c r="F4" s="4">
        <v>46.066666666666698</v>
      </c>
    </row>
    <row r="5" spans="1:6" ht="34" customHeight="1" thickBot="1" x14ac:dyDescent="0.25">
      <c r="A5" s="13" t="s">
        <v>3</v>
      </c>
      <c r="B5" s="5">
        <v>165</v>
      </c>
      <c r="C5" s="15">
        <v>5.0350487648267002E-2</v>
      </c>
      <c r="D5" s="6">
        <v>3.6102366202904399</v>
      </c>
      <c r="E5" s="6">
        <v>2.06154158626993</v>
      </c>
      <c r="F5" s="7">
        <v>119.357575757576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="82" workbookViewId="0">
      <selection sqref="A1:E8"/>
    </sheetView>
  </sheetViews>
  <sheetFormatPr baseColWidth="10" defaultRowHeight="16" x14ac:dyDescent="0.2"/>
  <cols>
    <col min="1" max="1" width="23.33203125" bestFit="1" customWidth="1"/>
    <col min="2" max="2" width="22.1640625" customWidth="1"/>
    <col min="3" max="3" width="26.6640625" customWidth="1"/>
    <col min="4" max="4" width="22.6640625" bestFit="1" customWidth="1"/>
    <col min="5" max="5" width="20.83203125" bestFit="1" customWidth="1"/>
  </cols>
  <sheetData>
    <row r="1" spans="1:5" ht="108" customHeight="1" thickBot="1" x14ac:dyDescent="0.25">
      <c r="A1" s="36" t="s">
        <v>19</v>
      </c>
      <c r="B1" s="37" t="s">
        <v>0</v>
      </c>
      <c r="C1" s="38" t="s">
        <v>18</v>
      </c>
      <c r="D1" s="37" t="s">
        <v>2</v>
      </c>
      <c r="E1" s="39" t="s">
        <v>3</v>
      </c>
    </row>
    <row r="2" spans="1:5" ht="34" x14ac:dyDescent="0.4">
      <c r="A2" s="50" t="s">
        <v>11</v>
      </c>
      <c r="B2" s="40">
        <v>8.0047369999999996E-3</v>
      </c>
      <c r="C2" s="53"/>
      <c r="D2" s="41">
        <v>4.9683010000000001E-4</v>
      </c>
      <c r="E2" s="42">
        <v>2.8975250000000001E-2</v>
      </c>
    </row>
    <row r="3" spans="1:5" ht="34" x14ac:dyDescent="0.4">
      <c r="A3" s="51" t="s">
        <v>12</v>
      </c>
      <c r="B3" s="43">
        <v>-4.0916709999999998E-3</v>
      </c>
      <c r="C3" s="54"/>
      <c r="D3" s="56"/>
      <c r="E3" s="45">
        <v>-2.812013E-2</v>
      </c>
    </row>
    <row r="4" spans="1:5" ht="34" x14ac:dyDescent="0.4">
      <c r="A4" s="51" t="s">
        <v>13</v>
      </c>
      <c r="B4" s="43">
        <v>1.5224990000000001E-3</v>
      </c>
      <c r="C4" s="54"/>
      <c r="D4" s="56"/>
      <c r="E4" s="45">
        <v>2.6975580000000001E-3</v>
      </c>
    </row>
    <row r="5" spans="1:5" ht="34" x14ac:dyDescent="0.4">
      <c r="A5" s="51" t="s">
        <v>14</v>
      </c>
      <c r="B5" s="44">
        <v>-38.382420000000003</v>
      </c>
      <c r="C5" s="54"/>
      <c r="D5" s="46">
        <v>-3.4360650000000001</v>
      </c>
      <c r="E5" s="45">
        <v>-0.258378</v>
      </c>
    </row>
    <row r="6" spans="1:5" ht="34" x14ac:dyDescent="0.4">
      <c r="A6" s="51" t="s">
        <v>15</v>
      </c>
      <c r="B6" s="46"/>
      <c r="C6" s="54"/>
      <c r="D6" s="46">
        <v>1.7244410000000001E-4</v>
      </c>
      <c r="E6" s="57"/>
    </row>
    <row r="7" spans="1:5" ht="34" x14ac:dyDescent="0.4">
      <c r="A7" s="51" t="s">
        <v>16</v>
      </c>
      <c r="B7" s="43">
        <v>-0.16295709999999999</v>
      </c>
      <c r="C7" s="54"/>
      <c r="D7" s="46">
        <v>-6.0852820000000002E-2</v>
      </c>
      <c r="E7" s="45">
        <v>-0.19127089999999999</v>
      </c>
    </row>
    <row r="8" spans="1:5" ht="35" thickBot="1" x14ac:dyDescent="0.45">
      <c r="A8" s="52" t="s">
        <v>17</v>
      </c>
      <c r="B8" s="47">
        <v>-2.7704759999999998E-4</v>
      </c>
      <c r="C8" s="55"/>
      <c r="D8" s="48"/>
      <c r="E8" s="49">
        <v>1.817327E-7</v>
      </c>
    </row>
    <row r="10" spans="1:5" ht="17" thickBot="1" x14ac:dyDescent="0.25"/>
    <row r="11" spans="1:5" ht="17" thickBot="1" x14ac:dyDescent="0.25">
      <c r="A11" s="16" t="s">
        <v>10</v>
      </c>
      <c r="B11" s="17" t="s">
        <v>0</v>
      </c>
      <c r="C11" s="18" t="s">
        <v>18</v>
      </c>
      <c r="D11" s="17" t="s">
        <v>2</v>
      </c>
      <c r="E11" s="19" t="s">
        <v>3</v>
      </c>
    </row>
    <row r="12" spans="1:5" x14ac:dyDescent="0.2">
      <c r="A12" s="20" t="s">
        <v>11</v>
      </c>
      <c r="B12" s="31">
        <f>ABS(B2)</f>
        <v>8.0047369999999996E-3</v>
      </c>
      <c r="C12" s="23"/>
      <c r="D12" s="33">
        <f t="shared" ref="C12:E12" si="0">ABS(D2)</f>
        <v>4.9683010000000001E-4</v>
      </c>
      <c r="E12" s="24">
        <f t="shared" si="0"/>
        <v>2.8975250000000001E-2</v>
      </c>
    </row>
    <row r="13" spans="1:5" x14ac:dyDescent="0.2">
      <c r="A13" s="21" t="s">
        <v>12</v>
      </c>
      <c r="B13" s="32">
        <f t="shared" ref="B13:E18" si="1">ABS(B3)</f>
        <v>4.0916709999999998E-3</v>
      </c>
      <c r="C13" s="26"/>
      <c r="D13" s="25">
        <f t="shared" ref="C13:E13" si="2">ABS(D3)</f>
        <v>0</v>
      </c>
      <c r="E13" s="27">
        <f t="shared" si="2"/>
        <v>2.812013E-2</v>
      </c>
    </row>
    <row r="14" spans="1:5" x14ac:dyDescent="0.2">
      <c r="A14" s="21" t="s">
        <v>13</v>
      </c>
      <c r="B14" s="32">
        <f t="shared" si="1"/>
        <v>1.5224990000000001E-3</v>
      </c>
      <c r="C14" s="26"/>
      <c r="D14" s="25">
        <f t="shared" ref="C14:E14" si="3">ABS(D4)</f>
        <v>0</v>
      </c>
      <c r="E14" s="27">
        <f t="shared" si="3"/>
        <v>2.6975580000000001E-3</v>
      </c>
    </row>
    <row r="15" spans="1:5" x14ac:dyDescent="0.2">
      <c r="A15" s="21" t="s">
        <v>14</v>
      </c>
      <c r="B15" s="32">
        <f t="shared" si="1"/>
        <v>38.382420000000003</v>
      </c>
      <c r="C15" s="26"/>
      <c r="D15" s="34">
        <f t="shared" ref="C15:E15" si="4">ABS(D5)</f>
        <v>3.4360650000000001</v>
      </c>
      <c r="E15" s="27">
        <f t="shared" si="4"/>
        <v>0.258378</v>
      </c>
    </row>
    <row r="16" spans="1:5" x14ac:dyDescent="0.2">
      <c r="A16" s="21" t="s">
        <v>15</v>
      </c>
      <c r="B16" s="34">
        <f t="shared" si="1"/>
        <v>0</v>
      </c>
      <c r="C16" s="26"/>
      <c r="D16" s="34">
        <f t="shared" ref="C16:E16" si="5">ABS(D6)</f>
        <v>1.7244410000000001E-4</v>
      </c>
      <c r="E16" s="27">
        <f t="shared" si="5"/>
        <v>0</v>
      </c>
    </row>
    <row r="17" spans="1:5" x14ac:dyDescent="0.2">
      <c r="A17" s="21" t="s">
        <v>16</v>
      </c>
      <c r="B17" s="32">
        <f t="shared" si="1"/>
        <v>0.16295709999999999</v>
      </c>
      <c r="C17" s="26"/>
      <c r="D17" s="34">
        <f t="shared" ref="C17:E17" si="6">ABS(D7)</f>
        <v>6.0852820000000002E-2</v>
      </c>
      <c r="E17" s="27">
        <f t="shared" si="6"/>
        <v>0.19127089999999999</v>
      </c>
    </row>
    <row r="18" spans="1:5" ht="17" thickBot="1" x14ac:dyDescent="0.25">
      <c r="A18" s="22" t="s">
        <v>17</v>
      </c>
      <c r="B18" s="35">
        <f t="shared" si="1"/>
        <v>2.7704759999999998E-4</v>
      </c>
      <c r="C18" s="29"/>
      <c r="D18" s="28">
        <f t="shared" ref="C18:E18" si="7">ABS(D8)</f>
        <v>0</v>
      </c>
      <c r="E18" s="30">
        <f t="shared" si="7"/>
        <v>1.817327E-7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haps_stats_agu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Kassien, Mariana (NIH/NIEHS) [F]</cp:lastModifiedBy>
  <dcterms:created xsi:type="dcterms:W3CDTF">2024-12-04T21:06:01Z</dcterms:created>
  <dcterms:modified xsi:type="dcterms:W3CDTF">2024-12-20T21:43:49Z</dcterms:modified>
</cp:coreProperties>
</file>